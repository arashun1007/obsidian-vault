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e20e1f329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計算" sheetId="1" r:id="R83ec261017874daf"/>
    <x:sheet xmlns:r="http://schemas.openxmlformats.org/officeDocument/2006/relationships" name="単価設定" sheetId="2" r:id="Rf765a6209016405c"/>
    <x:sheet xmlns:r="http://schemas.openxmlformats.org/officeDocument/2006/relationships" name="使い方" sheetId="3" r:id="R4adf35abf6a1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x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56B4A"/>
      </x:patternFill>
    </x:fill>
    <x:fill>
      <x:patternFill patternType="solid">
        <x:fgColor rgb="FFFFF4CC"/>
      </x:patternFill>
    </x:fill>
    <x:fill>
      <x:patternFill patternType="solid">
        <x:fgColor rgb="FFEAF2FF"/>
      </x:patternFill>
    </x:fill>
    <x:fill>
      <x:patternFill patternType="solid">
        <x:fgColor rgb="FFE38B2C"/>
      </x:patternFill>
    </x:fill>
  </x:fills>
  <x:borders count="18">
    <x:border/>
    <x:border/>
    <x:border>
      <x:left style="thin">
        <x:color rgb="FFD0D7D2"/>
      </x:left>
      <x:top style="thin">
        <x:color rgb="FFD0D7D2"/>
      </x:top>
    </x:border>
    <x:border>
      <x:top style="thin">
        <x:color rgb="FFD0D7D2"/>
      </x:top>
    </x:border>
    <x:border>
      <x:right style="thin">
        <x:color rgb="FFD0D7D2"/>
      </x:right>
      <x:top style="thin">
        <x:color rgb="FFD0D7D2"/>
      </x:top>
    </x:border>
    <x:border>
      <x:left style="thin">
        <x:color rgb="FFD0D7D2"/>
      </x:left>
    </x:border>
    <x:border>
      <x:right style="thin">
        <x:color rgb="FFD0D7D2"/>
      </x:right>
    </x:border>
    <x:border>
      <x:left style="thin">
        <x:color rgb="FFD0D7D2"/>
      </x:left>
      <x:bottom style="thin">
        <x:color rgb="FFD0D7D2"/>
      </x:bottom>
    </x:border>
    <x:border>
      <x:bottom style="thin">
        <x:color rgb="FFD0D7D2"/>
      </x:bottom>
    </x:border>
    <x:border>
      <x:right style="thin">
        <x:color rgb="FFD0D7D2"/>
      </x:right>
      <x:bottom style="thin">
        <x:color rgb="FFD0D7D2"/>
      </x:bottom>
    </x:border>
    <x:border>
      <x:left style="thin">
        <x:color rgb="FFD0D7D2"/>
      </x:left>
      <x:top style="thin">
        <x:color rgb="FFD0D7D2"/>
      </x:top>
    </x:border>
    <x:border>
      <x:top style="thin">
        <x:color rgb="FFD0D7D2"/>
      </x:top>
    </x:border>
    <x:border>
      <x:right style="thin">
        <x:color rgb="FFD0D7D2"/>
      </x:right>
      <x:top style="thin">
        <x:color rgb="FFD0D7D2"/>
      </x:top>
    </x:border>
    <x:border>
      <x:left style="thin">
        <x:color rgb="FFD0D7D2"/>
      </x:left>
    </x:border>
    <x:border>
      <x:right style="thin">
        <x:color rgb="FFD0D7D2"/>
      </x:right>
    </x:border>
    <x:border>
      <x:left style="thin">
        <x:color rgb="FFD0D7D2"/>
      </x:left>
      <x:bottom style="thin">
        <x:color rgb="FFD0D7D2"/>
      </x:bottom>
    </x:border>
    <x:border>
      <x:bottom style="thin">
        <x:color rgb="FFD0D7D2"/>
      </x:bottom>
    </x:border>
    <x:border>
      <x:right style="thin">
        <x:color rgb="FFD0D7D2"/>
      </x:right>
      <x:bottom style="thin">
        <x:color rgb="FFD0D7D2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8" xfId="0" applyNumberFormat="1" applyFont="1" applyFill="1" applyBorder="1"/>
    <x:xf numFmtId="0" fontId="0" fillId="3" borderId="11" xfId="0" applyNumberFormat="1" applyFont="1" applyFill="1" applyBorder="1"/>
    <x:xf numFmtId="0" fontId="0" fillId="3" borderId="1" xfId="0" applyNumberFormat="1" applyFont="1" applyFill="1" applyBorder="1"/>
    <x:xf numFmtId="0" fontId="0" fillId="3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4" xfId="0" applyNumberFormat="1" applyFont="1" applyFill="1" applyBorder="1"/>
    <x:xf numFmtId="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/>
    <x:xf numFmtId="0" fontId="0" fillId="3" borderId="14" xfId="0" applyNumberFormat="1" applyFont="1" applyFill="1" applyBorder="1"/>
    <x:xf numFmtId="200" fontId="0" fillId="3" borderId="3" xfId="0" applyNumberFormat="1" applyFont="1" applyFill="1" applyBorder="1"/>
    <x:xf numFmtId="200" fontId="0" fillId="0" borderId="3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8" xfId="0" applyNumberFormat="1" applyFont="1" applyFill="1" applyBorder="1"/>
    <x:xf numFmtId="200" fontId="0" fillId="0" borderId="8" xfId="0" applyNumberFormat="1" applyFont="1" applyFill="1" applyBorder="1"/>
    <x:xf numFmtId="200" fontId="0" fillId="3" borderId="11" xfId="0" applyNumberFormat="1" applyFont="1" applyFill="1" applyBorder="1"/>
    <x:xf numFmtId="200" fontId="0" fillId="0" borderId="11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0" fontId="0" fillId="3" borderId="16" xfId="0" applyNumberFormat="1" applyFont="1" applyFill="1" applyBorder="1"/>
    <x:xf numFmtId="200" fontId="0" fillId="0" borderId="1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3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4" xfId="0" applyNumberFormat="1" applyFont="1" applyFill="1" applyBorder="1"/>
    <x:xf numFmtId="200" fontId="0" fillId="3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2" fontId="0" fillId="3" borderId="3" xfId="0" applyNumberFormat="1" applyFont="1" applyFill="1" applyBorder="1"/>
    <x:xf numFmtId="202" fontId="0" fillId="3" borderId="0" xfId="0" applyNumberFormat="1" applyFont="1" applyFill="1" applyBorder="1"/>
    <x:xf numFmtId="202" fontId="0" fillId="3" borderId="8" xfId="0" applyNumberFormat="1" applyFont="1" applyFill="1" applyBorder="1"/>
    <x:xf numFmtId="202" fontId="0" fillId="3" borderId="11" xfId="0" applyNumberFormat="1" applyFont="1" applyFill="1" applyBorder="1"/>
    <x:xf numFmtId="202" fontId="0" fillId="3" borderId="1" xfId="0" applyNumberFormat="1" applyFont="1" applyFill="1" applyBorder="1"/>
    <x:xf numFmtId="202" fontId="0" fillId="3" borderId="16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CACA"/>
        </x:patternFill>
      </x:fill>
    </x:dxf>
    <x:dxf>
      <x:font>
        <x:b/>
        <x:color rgb="FFB91C1C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af894af0e4144" /><Relationship Type="http://schemas.openxmlformats.org/officeDocument/2006/relationships/theme" Target="/xl/theme/theme1.xml" Id="Rb3e823c4735c4fe7" /><Relationship Type="http://schemas.openxmlformats.org/officeDocument/2006/relationships/sharedStrings" Target="/xl/sharedStrings.xml" Id="R59a561d2edba4f67" /><Relationship Type="http://schemas.openxmlformats.org/officeDocument/2006/relationships/worksheet" Target="/xl/worksheets/sheet1.xml" Id="R83ec261017874daf" /><Relationship Type="http://schemas.openxmlformats.org/officeDocument/2006/relationships/worksheet" Target="/xl/worksheets/sheet2.xml" Id="Rf765a6209016405c" /><Relationship Type="http://schemas.openxmlformats.org/officeDocument/2006/relationships/worksheet" Target="/xl/worksheets/sheet3.xml" Id="R4adf35abf6a1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3" hidden="0" customWidth="1"/>
    <x:col min="5" max="5" width="12" hidden="0" customWidth="1"/>
    <x:col min="6" max="6" width="14" hidden="0" customWidth="1"/>
    <x:col min="7" max="7" width="13" hidden="0" customWidth="1"/>
    <x:col min="8" max="8" width="28" hidden="0" customWidth="1"/>
  </x:cols>
  <x:sheetData>
    <x:row r="1" ht="28" customHeight="1">
      <x:c r="A1" s="5" t="str">
        <x:v>庭木手入れ・草刈り あらい　見積もり計算テンプレート</x:v>
      </x:c>
      <x:c r="B1" s="5"/>
      <x:c r="C1" s="5"/>
      <x:c r="D1" s="5"/>
      <x:c r="E1" s="5"/>
      <x:c r="F1" s="5"/>
      <x:c r="G1" s="5"/>
      <x:c r="H1" s="5"/>
    </x:row>
    <x:row r="3">
      <x:c r="A3" t="str">
        <x:v>顧客名</x:v>
      </x:c>
      <x:c r="B3" s="34" t="str"/>
      <x:c r="D3" t="str">
        <x:v>想定作業日数</x:v>
      </x:c>
      <x:c r="E3" s="34" t="n">
        <x:v>1</x:v>
      </x:c>
    </x:row>
    <x:row r="4">
      <x:c r="A4" t="str">
        <x:v>作業場所</x:v>
      </x:c>
      <x:c r="B4" s="34" t="str"/>
      <x:c r="D4" t="str">
        <x:v>自分の人数</x:v>
      </x:c>
      <x:c r="E4" s="34" t="n">
        <x:v>1</x:v>
      </x:c>
    </x:row>
    <x:row r="5">
      <x:c r="A5" t="str">
        <x:v>見積日</x:v>
      </x:c>
      <x:c r="B5" s="34" t="str"/>
      <x:c r="D5" t="str">
        <x:v>応援人日</x:v>
      </x:c>
      <x:c r="E5" s="34" t="n">
        <x:v>0</x:v>
      </x:c>
    </x:row>
    <x:row r="6">
      <x:c r="A6" t="str">
        <x:v>案件メモ</x:v>
      </x:c>
      <x:c r="B6" s="34" t="str"/>
      <x:c r="D6" t="str">
        <x:v>難易度メモ</x:v>
      </x:c>
      <x:c r="E6" s="34" t="str"/>
    </x:row>
    <x:row r="8">
      <x:c r="A8" s="12" t="str">
        <x:v>項目</x:v>
      </x:c>
      <x:c r="B8" s="12" t="str">
        <x:v>単位</x:v>
      </x:c>
      <x:c r="C8" s="12" t="str">
        <x:v>数量</x:v>
      </x:c>
      <x:c r="D8" s="12" t="str">
        <x:v>基準単価</x:v>
      </x:c>
      <x:c r="E8" s="12" t="str">
        <x:v>難易度係数</x:v>
      </x:c>
      <x:c r="F8" s="12" t="str">
        <x:v>金額</x:v>
      </x:c>
      <x:c r="G8" s="12" t="str">
        <x:v>最低料金</x:v>
      </x:c>
      <x:c r="H8" s="12" t="str">
        <x:v>メモ</x:v>
      </x:c>
    </x:row>
    <x:row r="9">
      <x:c r="A9" s="16" t="str">
        <x:v>低木剪定（3m未満）</x:v>
      </x:c>
      <x:c r="B9" s="17" t="str">
        <x:v>本</x:v>
      </x:c>
      <x:c r="C9" s="33" t="n">
        <x:v>0</x:v>
      </x:c>
      <x:c r="D9" s="53" t="n">
        <x:v>4000</x:v>
      </x:c>
      <x:c r="E9" s="75" t="n">
        <x:v>1</x:v>
      </x:c>
      <x:c r="F9" s="54" t="n">
        <x:f>IF(C9=0,0,MAX(C9*D9*E9,G9))</x:f>
        <x:v>0</x:v>
      </x:c>
      <x:c r="G9" s="54" t="n">
        <x:v>3000</x:v>
      </x:c>
      <x:c r="H9" s="39" t="str"/>
    </x:row>
    <x:row r="10">
      <x:c r="A10" s="19" t="str">
        <x:v>中木剪定（3〜5m）</x:v>
      </x:c>
      <x:c r="B10" s="20" t="str">
        <x:v>本</x:v>
      </x:c>
      <x:c r="C10" s="34" t="n">
        <x:v>0</x:v>
      </x:c>
      <x:c r="D10" s="55" t="n">
        <x:v>10000</x:v>
      </x:c>
      <x:c r="E10" s="76" t="n">
        <x:v>1</x:v>
      </x:c>
      <x:c r="F10" s="56" t="n">
        <x:f>IF(C10=0,0,MAX(C10*D10*E10,G10))</x:f>
        <x:v>0</x:v>
      </x:c>
      <x:c r="G10" s="56" t="n">
        <x:v>8000</x:v>
      </x:c>
      <x:c r="H10" s="40" t="str"/>
    </x:row>
    <x:row r="11">
      <x:c r="A11" s="19" t="str">
        <x:v>高木剪定（5m以上）</x:v>
      </x:c>
      <x:c r="B11" s="20" t="str">
        <x:v>本</x:v>
      </x:c>
      <x:c r="C11" s="34" t="n">
        <x:v>0</x:v>
      </x:c>
      <x:c r="D11" s="55" t="n">
        <x:v>25000</x:v>
      </x:c>
      <x:c r="E11" s="76" t="n">
        <x:v>1</x:v>
      </x:c>
      <x:c r="F11" s="56" t="n">
        <x:f>IF(C11=0,0,MAX(C11*D11*E11,G11))</x:f>
        <x:v>0</x:v>
      </x:c>
      <x:c r="G11" s="56" t="n">
        <x:v>20000</x:v>
      </x:c>
      <x:c r="H11" s="40" t="str"/>
    </x:row>
    <x:row r="12">
      <x:c r="A12" s="19" t="str">
        <x:v>生垣刈り込み</x:v>
      </x:c>
      <x:c r="B12" s="20" t="str">
        <x:v>m</x:v>
      </x:c>
      <x:c r="C12" s="34" t="n">
        <x:v>0</x:v>
      </x:c>
      <x:c r="D12" s="55" t="n">
        <x:v>2000</x:v>
      </x:c>
      <x:c r="E12" s="76" t="n">
        <x:v>1</x:v>
      </x:c>
      <x:c r="F12" s="56" t="n">
        <x:f>IF(C12=0,0,MAX(C12*D12*E12,G12))</x:f>
        <x:v>0</x:v>
      </x:c>
      <x:c r="G12" s="56" t="n">
        <x:v>8000</x:v>
      </x:c>
      <x:c r="H12" s="40" t="str"/>
    </x:row>
    <x:row r="13">
      <x:c r="A13" s="19" t="str">
        <x:v>草刈り</x:v>
      </x:c>
      <x:c r="B13" s="20" t="str">
        <x:v>式</x:v>
      </x:c>
      <x:c r="C13" s="34" t="n">
        <x:v>0</x:v>
      </x:c>
      <x:c r="D13" s="55" t="n">
        <x:v>15000</x:v>
      </x:c>
      <x:c r="E13" s="76" t="n">
        <x:v>1</x:v>
      </x:c>
      <x:c r="F13" s="56" t="n">
        <x:f>IF(C13=0,0,MAX(C13*D13*E13,G13))</x:f>
        <x:v>0</x:v>
      </x:c>
      <x:c r="G13" s="56" t="n">
        <x:v>15000</x:v>
      </x:c>
      <x:c r="H13" s="40" t="str"/>
    </x:row>
    <x:row r="14">
      <x:c r="A14" s="19" t="str">
        <x:v>草むしり</x:v>
      </x:c>
      <x:c r="B14" s="20" t="str">
        <x:v>式</x:v>
      </x:c>
      <x:c r="C14" s="34" t="n">
        <x:v>0</x:v>
      </x:c>
      <x:c r="D14" s="55" t="n">
        <x:v>20000</x:v>
      </x:c>
      <x:c r="E14" s="76" t="n">
        <x:v>1</x:v>
      </x:c>
      <x:c r="F14" s="56" t="n">
        <x:f>IF(C14=0,0,MAX(C14*D14*E14,G14))</x:f>
        <x:v>0</x:v>
      </x:c>
      <x:c r="G14" s="56" t="n">
        <x:v>20000</x:v>
      </x:c>
      <x:c r="H14" s="40" t="str"/>
    </x:row>
    <x:row r="15">
      <x:c r="A15" s="19" t="str">
        <x:v>低木伐採（3m未満）</x:v>
      </x:c>
      <x:c r="B15" s="20" t="str">
        <x:v>本</x:v>
      </x:c>
      <x:c r="C15" s="34" t="n">
        <x:v>0</x:v>
      </x:c>
      <x:c r="D15" s="55" t="n">
        <x:v>10000</x:v>
      </x:c>
      <x:c r="E15" s="76" t="n">
        <x:v>1</x:v>
      </x:c>
      <x:c r="F15" s="56" t="n">
        <x:f>IF(C15=0,0,MAX(C15*D15*E15,G15))</x:f>
        <x:v>0</x:v>
      </x:c>
      <x:c r="G15" s="56" t="n">
        <x:v>8000</x:v>
      </x:c>
      <x:c r="H15" s="40" t="str"/>
    </x:row>
    <x:row r="16">
      <x:c r="A16" s="19" t="str">
        <x:v>中木伐採（3〜5m）</x:v>
      </x:c>
      <x:c r="B16" s="20" t="str">
        <x:v>本</x:v>
      </x:c>
      <x:c r="C16" s="34" t="n">
        <x:v>0</x:v>
      </x:c>
      <x:c r="D16" s="55" t="n">
        <x:v>30000</x:v>
      </x:c>
      <x:c r="E16" s="76" t="n">
        <x:v>1</x:v>
      </x:c>
      <x:c r="F16" s="56" t="n">
        <x:f>IF(C16=0,0,MAX(C16*D16*E16,G16))</x:f>
        <x:v>0</x:v>
      </x:c>
      <x:c r="G16" s="56" t="n">
        <x:v>20000</x:v>
      </x:c>
      <x:c r="H16" s="40" t="str"/>
    </x:row>
    <x:row r="17">
      <x:c r="A17" s="19" t="str">
        <x:v>高木伐採（5m以上）</x:v>
      </x:c>
      <x:c r="B17" s="20" t="str">
        <x:v>本</x:v>
      </x:c>
      <x:c r="C17" s="34" t="n">
        <x:v>0</x:v>
      </x:c>
      <x:c r="D17" s="55" t="n">
        <x:v>60000</x:v>
      </x:c>
      <x:c r="E17" s="76" t="n">
        <x:v>1</x:v>
      </x:c>
      <x:c r="F17" s="56" t="n">
        <x:f>IF(C17=0,0,MAX(C17*D17*E17,G17))</x:f>
        <x:v>0</x:v>
      </x:c>
      <x:c r="G17" s="56" t="n">
        <x:v>50000</x:v>
      </x:c>
      <x:c r="H17" s="40" t="str"/>
    </x:row>
    <x:row r="18">
      <x:c r="A18" s="19" t="str">
        <x:v>ハチ駆除・小さな巣</x:v>
      </x:c>
      <x:c r="B18" s="20" t="str">
        <x:v>式</x:v>
      </x:c>
      <x:c r="C18" s="34" t="n">
        <x:v>0</x:v>
      </x:c>
      <x:c r="D18" s="55" t="n">
        <x:v>8000</x:v>
      </x:c>
      <x:c r="E18" s="76" t="n">
        <x:v>1</x:v>
      </x:c>
      <x:c r="F18" s="56" t="n">
        <x:f>IF(C18=0,0,MAX(C18*D18*E18,G18))</x:f>
        <x:v>0</x:v>
      </x:c>
      <x:c r="G18" s="56" t="n">
        <x:v>8000</x:v>
      </x:c>
      <x:c r="H18" s="40" t="str"/>
    </x:row>
    <x:row r="19">
      <x:c r="A19" s="19" t="str">
        <x:v>アシナガバチ駆除</x:v>
      </x:c>
      <x:c r="B19" s="20" t="str">
        <x:v>式</x:v>
      </x:c>
      <x:c r="C19" s="34" t="n">
        <x:v>0</x:v>
      </x:c>
      <x:c r="D19" s="55" t="n">
        <x:v>10000</x:v>
      </x:c>
      <x:c r="E19" s="76" t="n">
        <x:v>1</x:v>
      </x:c>
      <x:c r="F19" s="56" t="n">
        <x:f>IF(C19=0,0,MAX(C19*D19*E19,G19))</x:f>
        <x:v>0</x:v>
      </x:c>
      <x:c r="G19" s="56" t="n">
        <x:v>10000</x:v>
      </x:c>
      <x:c r="H19" s="40" t="str"/>
    </x:row>
    <x:row r="20">
      <x:c r="A20" s="19" t="str">
        <x:v>スズメバチ駆除</x:v>
      </x:c>
      <x:c r="B20" s="20" t="str">
        <x:v>式</x:v>
      </x:c>
      <x:c r="C20" s="34" t="n">
        <x:v>0</x:v>
      </x:c>
      <x:c r="D20" s="55" t="n">
        <x:v>22000</x:v>
      </x:c>
      <x:c r="E20" s="76" t="n">
        <x:v>1</x:v>
      </x:c>
      <x:c r="F20" s="56" t="n">
        <x:f>IF(C20=0,0,MAX(C20*D20*E20,G20))</x:f>
        <x:v>0</x:v>
      </x:c>
      <x:c r="G20" s="56" t="n">
        <x:v>22000</x:v>
      </x:c>
      <x:c r="H20" s="40" t="str"/>
    </x:row>
    <x:row r="21">
      <x:c r="A21" s="19" t="str">
        <x:v>枝葉処分</x:v>
      </x:c>
      <x:c r="B21" s="20" t="str">
        <x:v>台</x:v>
      </x:c>
      <x:c r="C21" s="34" t="n">
        <x:v>0</x:v>
      </x:c>
      <x:c r="D21" s="55" t="n">
        <x:v>12000</x:v>
      </x:c>
      <x:c r="E21" s="76" t="n">
        <x:v>1</x:v>
      </x:c>
      <x:c r="F21" s="56" t="n">
        <x:f>IF(C21=0,0,MAX(C21*D21*E21,G21))</x:f>
        <x:v>0</x:v>
      </x:c>
      <x:c r="G21" s="56" t="n">
        <x:v>5000</x:v>
      </x:c>
      <x:c r="H21" s="40" t="str"/>
    </x:row>
    <x:row r="22">
      <x:c r="A22" s="19" t="str">
        <x:v>出張・現地対応</x:v>
      </x:c>
      <x:c r="B22" s="20" t="str">
        <x:v>式</x:v>
      </x:c>
      <x:c r="C22" s="34" t="n">
        <x:v>0</x:v>
      </x:c>
      <x:c r="D22" s="55" t="n">
        <x:v>5000</x:v>
      </x:c>
      <x:c r="E22" s="76" t="n">
        <x:v>1</x:v>
      </x:c>
      <x:c r="F22" s="56" t="n">
        <x:f>IF(C22=0,0,MAX(C22*D22*E22,G22))</x:f>
        <x:v>0</x:v>
      </x:c>
      <x:c r="G22" s="56" t="n">
        <x:v>0</x:v>
      </x:c>
      <x:c r="H22" s="40" t="str"/>
    </x:row>
    <x:row r="23">
      <x:c r="A23" s="22" t="str">
        <x:v>その他作業</x:v>
      </x:c>
      <x:c r="B23" s="23" t="str">
        <x:v>式</x:v>
      </x:c>
      <x:c r="C23" s="35" t="n">
        <x:v>0</x:v>
      </x:c>
      <x:c r="D23" s="57" t="n">
        <x:v>0</x:v>
      </x:c>
      <x:c r="E23" s="77" t="n">
        <x:v>1</x:v>
      </x:c>
      <x:c r="F23" s="58" t="n">
        <x:f>IF(C23=0,0,MAX(C23*D23*E23,G23))</x:f>
        <x:v>0</x:v>
      </x:c>
      <x:c r="G23" s="58" t="n">
        <x:v>0</x:v>
      </x:c>
      <x:c r="H23" s="41" t="str"/>
    </x:row>
    <x:row r="26">
      <x:c r="A26" s="47" t="str">
        <x:v>お客様向け見積金額</x:v>
      </x:c>
      <x:c r="B26" s="47"/>
      <x:c r="C26" s="47"/>
      <x:c r="E26" s="11" t="str">
        <x:v>自分用：原価・利益チェック</x:v>
      </x:c>
      <x:c r="F26" s="11"/>
      <x:c r="G26" s="11"/>
      <x:c r="H26" s="11"/>
    </x:row>
    <x:row r="27">
      <x:c r="A27" s="16" t="str">
        <x:v>作業小計</x:v>
      </x:c>
      <x:c r="B27" s="17" t="str"/>
      <x:c r="C27" s="65" t="n">
        <x:f>SUM(F9:F23)</x:f>
        <x:v>0</x:v>
      </x:c>
      <x:c r="E27" s="16" t="str">
        <x:v>自分の労務原価</x:v>
      </x:c>
      <x:c r="F27" s="17" t="str"/>
      <x:c r="G27" s="65" t="n">
        <x:f>E4*E5*'単価設定'!H8</x:f>
        <x:v>0</x:v>
      </x:c>
    </x:row>
    <x:row r="28">
      <x:c r="A28" s="19" t="str">
        <x:v>諸経費率</x:v>
      </x:c>
      <x:c r="B28" s="20" t="str"/>
      <x:c r="C28" s="73" t="n">
        <x:f>'単価設定'!H5</x:f>
        <x:v>0.1</x:v>
      </x:c>
      <x:c r="E28" s="19" t="str">
        <x:v>応援費</x:v>
      </x:c>
      <x:c r="F28" s="20" t="str"/>
      <x:c r="G28" s="66" t="n">
        <x:f>E6*'単価設定'!H9</x:f>
        <x:v>0</x:v>
      </x:c>
    </x:row>
    <x:row r="29">
      <x:c r="A29" s="19" t="str">
        <x:v>諸経費</x:v>
      </x:c>
      <x:c r="B29" s="20" t="str"/>
      <x:c r="C29" s="66" t="n">
        <x:f>C27*C28</x:f>
        <x:v>0</x:v>
      </x:c>
      <x:c r="E29" s="19" t="str">
        <x:v>軽トラ・道具借料</x:v>
      </x:c>
      <x:c r="F29" s="20" t="str"/>
      <x:c r="G29" s="66" t="n">
        <x:f>E4*'単価設定'!H10</x:f>
        <x:v>5000</x:v>
      </x:c>
    </x:row>
    <x:row r="30">
      <x:c r="A30" s="19" t="str">
        <x:v>値引き</x:v>
      </x:c>
      <x:c r="B30" s="20" t="n">
        <x:v>0</x:v>
      </x:c>
      <x:c r="C30" s="67" t="n">
        <x:v>0</x:v>
      </x:c>
      <x:c r="E30" s="19" t="str">
        <x:v>処分実費</x:v>
      </x:c>
      <x:c r="F30" s="20" t="n">
        <x:v>0</x:v>
      </x:c>
      <x:c r="G30" s="67" t="n">
        <x:v>0</x:v>
      </x:c>
    </x:row>
    <x:row r="31">
      <x:c r="A31" s="19" t="str">
        <x:v>税抜合計</x:v>
      </x:c>
      <x:c r="B31" s="20" t="str"/>
      <x:c r="C31" s="66" t="n">
        <x:f>C27+C29-C30</x:f>
        <x:v>0</x:v>
      </x:c>
      <x:c r="E31" s="19" t="str">
        <x:v>材料・燃料実費</x:v>
      </x:c>
      <x:c r="F31" s="20" t="n">
        <x:v>0</x:v>
      </x:c>
      <x:c r="G31" s="67" t="n">
        <x:v>0</x:v>
      </x:c>
    </x:row>
    <x:row r="32">
      <x:c r="A32" s="19" t="str">
        <x:v>消費税</x:v>
      </x:c>
      <x:c r="B32" s="20" t="str"/>
      <x:c r="C32" s="66" t="n">
        <x:f>ROUND(C31*'単価設定'!H4,0)</x:f>
        <x:v>0</x:v>
      </x:c>
      <x:c r="E32" s="19" t="str">
        <x:v>駐車・交通実費</x:v>
      </x:c>
      <x:c r="F32" s="20" t="n">
        <x:v>0</x:v>
      </x:c>
      <x:c r="G32" s="67" t="n">
        <x:v>0</x:v>
      </x:c>
    </x:row>
    <x:row r="33">
      <x:c r="A33" s="22" t="str">
        <x:v>見積総額</x:v>
      </x:c>
      <x:c r="B33" s="23" t="str"/>
      <x:c r="C33" s="68" t="n">
        <x:f>C31+C32</x:f>
        <x:v>0</x:v>
      </x:c>
      <x:c r="E33" s="19" t="str">
        <x:v>その他原価</x:v>
      </x:c>
      <x:c r="F33" s="20" t="n">
        <x:v>0</x:v>
      </x:c>
      <x:c r="G33" s="67" t="n">
        <x:v>0</x:v>
      </x:c>
    </x:row>
    <x:row r="34">
      <x:c r="E34" s="19" t="str">
        <x:v>原価合計</x:v>
      </x:c>
      <x:c r="F34" s="20" t="str"/>
      <x:c r="G34" s="66" t="n">
        <x:f>SUM(G27:G33)</x:f>
        <x:v>5000</x:v>
      </x:c>
    </x:row>
    <x:row r="35">
      <x:c r="E35" s="19" t="str">
        <x:v>粗利益</x:v>
      </x:c>
      <x:c r="F35" s="20" t="str"/>
      <x:c r="G35" s="66" t="n">
        <x:f>C31-G34</x:f>
        <x:v>-5000</x:v>
      </x:c>
    </x:row>
    <x:row r="36">
      <x:c r="E36" s="19" t="str">
        <x:v>粗利率</x:v>
      </x:c>
      <x:c r="F36" s="20" t="str"/>
      <x:c r="G36" s="73" t="n">
        <x:f>IF(C31=0,0,G35/C31)</x:f>
        <x:v>0</x:v>
      </x:c>
    </x:row>
    <x:row r="37">
      <x:c r="E37" s="19" t="str">
        <x:v>1日あたり売上</x:v>
      </x:c>
      <x:c r="F37" s="20" t="str"/>
      <x:c r="G37" s="66" t="n">
        <x:f>IF(E4=0,0,C31/E4)</x:f>
        <x:v>0</x:v>
      </x:c>
    </x:row>
    <x:row r="38">
      <x:c r="E38" s="22" t="str">
        <x:v>判定</x:v>
      </x:c>
      <x:c r="F38" s="23" t="str"/>
      <x:c r="G38" s="24" t="str">
        <x:f>IF(AND(G36&gt;='単価設定'!H6,G37&gt;='単価設定'!H7),"OK","要見直し")</x:f>
        <x:v>要見直し</x:v>
      </x:c>
    </x:row>
  </x:sheetData>
  <x:mergeCells>
    <x:mergeCell ref="A1:H1"/>
    <x:mergeCell ref="A26:C26"/>
    <x:mergeCell ref="E26:H26"/>
  </x:mergeCells>
  <x:conditionalFormatting sqref="G36:G36">
    <x:cfRule type="cellIs" dxfId="0" priority="1" operator="lessThan">
      <x:formula>単価設定!H6</x:formula>
    </x:cfRule>
  </x:conditionalFormatting>
  <x:conditionalFormatting sqref="G38:G38">
    <x:cfRule type="expression" dxfId="1" priority="2">
      <x:formula>G38="要見直し"</x:formula>
    </x:cfRule>
    <x:cfRule type="expression" dxfId="2" priority="3">
      <x:formula>G38="OK"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4" hidden="0" customWidth="1"/>
    <x:col min="4" max="4" width="14" hidden="0" customWidth="1"/>
    <x:col min="5" max="5" width="30" hidden="0" customWidth="1"/>
    <x:col min="7" max="7" width="24" hidden="0" customWidth="1"/>
    <x:col min="8" max="8" width="16" hidden="0" customWidth="1"/>
  </x:cols>
  <x:sheetData>
    <x:row r="1" ht="28" customHeight="1">
      <x:c r="A1" s="5" t="str">
        <x:v>庭木手入れ・草刈り あらい　基準単価設定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項目</x:v>
      </x:c>
      <x:c r="B3" s="11" t="str">
        <x:v>単位</x:v>
      </x:c>
      <x:c r="C3" s="11" t="str">
        <x:v>基準単価</x:v>
      </x:c>
      <x:c r="D3" s="11" t="str">
        <x:v>最低料金</x:v>
      </x:c>
      <x:c r="E3" s="11" t="str">
        <x:v>メモ</x:v>
      </x:c>
      <x:c r="G3" s="47" t="str">
        <x:v>共通設定</x:v>
      </x:c>
      <x:c r="H3" s="47" t="str">
        <x:v>値</x:v>
      </x:c>
    </x:row>
    <x:row r="4">
      <x:c r="A4" s="16" t="str">
        <x:v>低木剪定（3m未満）</x:v>
      </x:c>
      <x:c r="B4" s="17" t="str">
        <x:v>本</x:v>
      </x:c>
      <x:c r="C4" s="53" t="n">
        <x:v>4000</x:v>
      </x:c>
      <x:c r="D4" s="53" t="n">
        <x:v>3000</x:v>
      </x:c>
      <x:c r="E4" s="18" t="str">
        <x:v>軽い整枝の目安</x:v>
      </x:c>
      <x:c r="G4" t="str">
        <x:v>消費税率</x:v>
      </x:c>
      <x:c r="H4" s="81" t="n">
        <x:v>0.1</x:v>
      </x:c>
    </x:row>
    <x:row r="5">
      <x:c r="A5" s="19" t="str">
        <x:v>中木剪定（3〜5m）</x:v>
      </x:c>
      <x:c r="B5" s="20" t="str">
        <x:v>本</x:v>
      </x:c>
      <x:c r="C5" s="55" t="n">
        <x:v>10000</x:v>
      </x:c>
      <x:c r="D5" s="55" t="n">
        <x:v>8000</x:v>
      </x:c>
      <x:c r="E5" s="21" t="str">
        <x:v>標準的な庭木</x:v>
      </x:c>
      <x:c r="G5" t="str">
        <x:v>諸経費率</x:v>
      </x:c>
      <x:c r="H5" s="81" t="n">
        <x:v>0.1</x:v>
      </x:c>
    </x:row>
    <x:row r="6">
      <x:c r="A6" s="19" t="str">
        <x:v>高木剪定（5m以上）</x:v>
      </x:c>
      <x:c r="B6" s="20" t="str">
        <x:v>本</x:v>
      </x:c>
      <x:c r="C6" s="55" t="n">
        <x:v>25000</x:v>
      </x:c>
      <x:c r="D6" s="55" t="n">
        <x:v>20000</x:v>
      </x:c>
      <x:c r="E6" s="21" t="str">
        <x:v>高所・危険度で加算</x:v>
      </x:c>
      <x:c r="G6" t="str">
        <x:v>目標粗利率</x:v>
      </x:c>
      <x:c r="H6" s="81" t="n">
        <x:v>0.45</x:v>
      </x:c>
    </x:row>
    <x:row r="7">
      <x:c r="A7" s="19" t="str">
        <x:v>生垣刈り込み</x:v>
      </x:c>
      <x:c r="B7" s="20" t="str">
        <x:v>m</x:v>
      </x:c>
      <x:c r="C7" s="55" t="n">
        <x:v>2000</x:v>
      </x:c>
      <x:c r="D7" s="55" t="n">
        <x:v>8000</x:v>
      </x:c>
      <x:c r="E7" s="21" t="str">
        <x:v>高さ・幅で調整</x:v>
      </x:c>
      <x:c r="G7" t="str">
        <x:v>最低1日売上</x:v>
      </x:c>
      <x:c r="H7" s="55" t="n">
        <x:v>35000</x:v>
      </x:c>
    </x:row>
    <x:row r="8">
      <x:c r="A8" s="19" t="str">
        <x:v>草刈り</x:v>
      </x:c>
      <x:c r="B8" s="20" t="str">
        <x:v>式</x:v>
      </x:c>
      <x:c r="C8" s="55" t="n">
        <x:v>15000</x:v>
      </x:c>
      <x:c r="D8" s="55" t="n">
        <x:v>15000</x:v>
      </x:c>
      <x:c r="E8" s="21" t="str">
        <x:v>小規模の最低目安</x:v>
      </x:c>
      <x:c r="G8" t="str">
        <x:v>自分の日当目標</x:v>
      </x:c>
      <x:c r="H8" s="55" t="n">
        <x:v>25000</x:v>
      </x:c>
    </x:row>
    <x:row r="9">
      <x:c r="A9" s="19" t="str">
        <x:v>草むしり</x:v>
      </x:c>
      <x:c r="B9" s="20" t="str">
        <x:v>式</x:v>
      </x:c>
      <x:c r="C9" s="55" t="n">
        <x:v>20000</x:v>
      </x:c>
      <x:c r="D9" s="55" t="n">
        <x:v>20000</x:v>
      </x:c>
      <x:c r="E9" s="21" t="str">
        <x:v>手作業中心</x:v>
      </x:c>
      <x:c r="G9" t="str">
        <x:v>応援日当</x:v>
      </x:c>
      <x:c r="H9" s="55" t="n">
        <x:v>18000</x:v>
      </x:c>
    </x:row>
    <x:row r="10">
      <x:c r="A10" s="19" t="str">
        <x:v>低木伐採（3m未満）</x:v>
      </x:c>
      <x:c r="B10" s="20" t="str">
        <x:v>本</x:v>
      </x:c>
      <x:c r="C10" s="55" t="n">
        <x:v>10000</x:v>
      </x:c>
      <x:c r="D10" s="55" t="n">
        <x:v>8000</x:v>
      </x:c>
      <x:c r="E10" s="21" t="str">
        <x:v>幹径・搬出で調整</x:v>
      </x:c>
      <x:c r="G10" t="str">
        <x:v>軽トラ・道具借料/日</x:v>
      </x:c>
      <x:c r="H10" s="55" t="n">
        <x:v>5000</x:v>
      </x:c>
    </x:row>
    <x:row r="11">
      <x:c r="A11" s="19" t="str">
        <x:v>中木伐採（3〜5m）</x:v>
      </x:c>
      <x:c r="B11" s="20" t="str">
        <x:v>本</x:v>
      </x:c>
      <x:c r="C11" s="55" t="n">
        <x:v>30000</x:v>
      </x:c>
      <x:c r="D11" s="55" t="n">
        <x:v>20000</x:v>
      </x:c>
      <x:c r="E11" s="21" t="str">
        <x:v>危険度で調整</x:v>
      </x:c>
    </x:row>
    <x:row r="12">
      <x:c r="A12" s="19" t="str">
        <x:v>高木伐採（5m以上）</x:v>
      </x:c>
      <x:c r="B12" s="20" t="str">
        <x:v>本</x:v>
      </x:c>
      <x:c r="C12" s="55" t="n">
        <x:v>60000</x:v>
      </x:c>
      <x:c r="D12" s="55" t="n">
        <x:v>50000</x:v>
      </x:c>
      <x:c r="E12" s="21" t="str">
        <x:v>原則現地確認</x:v>
      </x:c>
    </x:row>
    <x:row r="13">
      <x:c r="A13" s="19" t="str">
        <x:v>ハチ駆除・小さな巣</x:v>
      </x:c>
      <x:c r="B13" s="20" t="str">
        <x:v>式</x:v>
      </x:c>
      <x:c r="C13" s="55" t="n">
        <x:v>8000</x:v>
      </x:c>
      <x:c r="D13" s="55" t="n">
        <x:v>8000</x:v>
      </x:c>
      <x:c r="E13" s="21" t="str">
        <x:v>低所・簡易案件</x:v>
      </x:c>
    </x:row>
    <x:row r="14">
      <x:c r="A14" s="19" t="str">
        <x:v>アシナガバチ駆除</x:v>
      </x:c>
      <x:c r="B14" s="20" t="str">
        <x:v>式</x:v>
      </x:c>
      <x:c r="C14" s="55" t="n">
        <x:v>10000</x:v>
      </x:c>
      <x:c r="D14" s="55" t="n">
        <x:v>10000</x:v>
      </x:c>
      <x:c r="E14" s="21" t="str">
        <x:v>巣の大きさで調整</x:v>
      </x:c>
    </x:row>
    <x:row r="15">
      <x:c r="A15" s="19" t="str">
        <x:v>スズメバチ駆除</x:v>
      </x:c>
      <x:c r="B15" s="20" t="str">
        <x:v>式</x:v>
      </x:c>
      <x:c r="C15" s="55" t="n">
        <x:v>22000</x:v>
      </x:c>
      <x:c r="D15" s="55" t="n">
        <x:v>22000</x:v>
      </x:c>
      <x:c r="E15" s="21" t="str">
        <x:v>危険度で調整</x:v>
      </x:c>
    </x:row>
    <x:row r="16">
      <x:c r="A16" s="19" t="str">
        <x:v>枝葉処分</x:v>
      </x:c>
      <x:c r="B16" s="20" t="str">
        <x:v>台</x:v>
      </x:c>
      <x:c r="C16" s="55" t="n">
        <x:v>12000</x:v>
      </x:c>
      <x:c r="D16" s="55" t="n">
        <x:v>5000</x:v>
      </x:c>
      <x:c r="E16" s="21" t="str">
        <x:v>軽トラ1台の目安</x:v>
      </x:c>
    </x:row>
    <x:row r="17">
      <x:c r="A17" s="19" t="str">
        <x:v>出張・現地対応</x:v>
      </x:c>
      <x:c r="B17" s="20" t="str">
        <x:v>式</x:v>
      </x:c>
      <x:c r="C17" s="55" t="n">
        <x:v>5000</x:v>
      </x:c>
      <x:c r="D17" s="55" t="n">
        <x:v>0</x:v>
      </x:c>
      <x:c r="E17" s="21" t="str">
        <x:v>遠方時のみ</x:v>
      </x:c>
    </x:row>
    <x:row r="18">
      <x:c r="A18" s="22" t="str">
        <x:v>その他作業</x:v>
      </x:c>
      <x:c r="B18" s="23" t="str">
        <x:v>式</x:v>
      </x:c>
      <x:c r="C18" s="57" t="n">
        <x:v>0</x:v>
      </x:c>
      <x:c r="D18" s="57" t="n">
        <x:v>0</x:v>
      </x:c>
      <x:c r="E18" s="24" t="str">
        <x:v>案件ごとに手入力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5" hidden="0" customWidth="1"/>
  </x:cols>
  <x:sheetData>
    <x:row r="1" ht="28" customHeight="1">
      <x:c r="A1" s="5" t="str">
        <x:v>このテンプレートの使い方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1" t="str">
        <x:v>1</x:v>
      </x:c>
      <x:c r="B3" s="83" t="str">
        <x:v>見積計算シートで、使う項目の数量だけ入力します。使わない項目は0のままでOKです。</x:v>
      </x:c>
    </x:row>
    <x:row r="4" ht="34" customHeight="1">
      <x:c r="A4" s="11" t="str">
        <x:v>2</x:v>
      </x:c>
      <x:c r="B4" s="83" t="str">
        <x:v>難しい現場は難易度係数を1.2〜1.5に上げます。通常は1.0です。</x:v>
      </x:c>
    </x:row>
    <x:row r="5" ht="34" customHeight="1">
      <x:c r="A5" s="11" t="str">
        <x:v>3</x:v>
      </x:c>
      <x:c r="B5" s="83" t="str">
        <x:v>基準単価は案件ごとに上書きできます。普段の単価は単価設定シートで変更します。</x:v>
      </x:c>
    </x:row>
    <x:row r="6" ht="34" customHeight="1">
      <x:c r="A6" s="11" t="str">
        <x:v>4</x:v>
      </x:c>
      <x:c r="B6" s="83" t="str">
        <x:v>枝葉処分・高所・駐車・応援など、見落としやすい費用を必ず確認します。</x:v>
      </x:c>
    </x:row>
    <x:row r="7" ht="34" customHeight="1">
      <x:c r="A7" s="11" t="str">
        <x:v>5</x:v>
      </x:c>
      <x:c r="B7" s="83" t="str">
        <x:v>見積総額は税込です。お客様へ出す金額として使います。</x:v>
      </x:c>
    </x:row>
    <x:row r="8" ht="34" customHeight="1">
      <x:c r="A8" s="11" t="str">
        <x:v>6</x:v>
      </x:c>
      <x:c r="B8" s="83" t="str">
        <x:v>右側の利益チェックで『要見直し』なら、単価・日数・原価を見直します。</x:v>
      </x:c>
    </x:row>
    <x:row r="9" ht="34" customHeight="1">
      <x:c r="A9" s="11" t="str">
        <x:v>7</x:v>
      </x:c>
      <x:c r="B9" s="83" t="str">
        <x:v>見積書アプリへは、税抜合計または明細金額を転記してください。</x:v>
      </x:c>
    </x:row>
    <x:row r="10" ht="34" customHeight="1">
      <x:c r="A10" s="11" t="str">
        <x:v>8</x:v>
      </x:c>
      <x:c r="B10" s="83" t="str">
        <x:v>このシートは裏方用です。お客様には見せない前提で使います。</x:v>
      </x:c>
    </x:row>
    <x:row r="12">
      <x:c r="A12" s="47" t="str">
        <x:v>難易度係数の目安</x:v>
      </x:c>
      <x:c r="B12" t="str"/>
      <x:c r="C12" t="str"/>
      <x:c r="D12" t="str"/>
      <x:c r="E12" t="str"/>
      <x:c r="F12" t="str"/>
    </x:row>
    <x:row r="13">
      <x:c r="A13" s="16" t="str">
        <x:v>1.0</x:v>
      </x:c>
      <x:c r="B13" s="18" t="str">
        <x:v>通常作業</x:v>
      </x:c>
      <x:c r="C13" t="str"/>
      <x:c r="D13" t="str"/>
      <x:c r="E13" t="str"/>
      <x:c r="F13" t="str"/>
    </x:row>
    <x:row r="14">
      <x:c r="A14" s="19" t="str">
        <x:v>1.2</x:v>
      </x:c>
      <x:c r="B14" s="21" t="str">
        <x:v>枝量が多い・搬出が大変</x:v>
      </x:c>
      <x:c r="C14" t="str"/>
      <x:c r="D14" t="str"/>
      <x:c r="E14" t="str"/>
      <x:c r="F14" t="str"/>
    </x:row>
    <x:row r="15">
      <x:c r="A15" s="19" t="str">
        <x:v>1.3</x:v>
      </x:c>
      <x:c r="B15" s="21" t="str">
        <x:v>高所・隣家・電線・狭所</x:v>
      </x:c>
      <x:c r="C15" t="str"/>
      <x:c r="D15" t="str"/>
      <x:c r="E15" t="str"/>
      <x:c r="F15" t="str"/>
    </x:row>
    <x:row r="16">
      <x:c r="A16" s="22" t="str">
        <x:v>1.5</x:v>
      </x:c>
      <x:c r="B16" s="24" t="str">
        <x:v>危険度が高い・特殊作業</x:v>
      </x:c>
      <x:c r="C16" t="str"/>
      <x:c r="D16" t="str"/>
      <x:c r="E16" t="str"/>
      <x:c r="F16" t="str"/>
    </x:row>
  </x:sheetData>
  <x:mergeCells>
    <x:mergeCell ref="A1:F1"/>
    <x:mergeCell ref="A12:F12"/>
  </x:mergeCells>
  <x:pageMargins left="0.7" right="0.7" top="0.75" bottom="0.75" header="0.3" footer="0.3"/>
</x:worksheet>
</file>